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nahmen" sheetId="2" state="visible" r:id="rId2"/>
    <sheet xmlns:r="http://schemas.openxmlformats.org/officeDocument/2006/relationships" name="Umsatzplanung" sheetId="3" state="visible" r:id="rId3"/>
    <sheet xmlns:r="http://schemas.openxmlformats.org/officeDocument/2006/relationships" name="Kostenplanung" sheetId="4" state="visible" r:id="rId4"/>
    <sheet xmlns:r="http://schemas.openxmlformats.org/officeDocument/2006/relationships" name="GuV" sheetId="5" state="visible" r:id="rId5"/>
    <sheet xmlns:r="http://schemas.openxmlformats.org/officeDocument/2006/relationships" name="Liquidität" sheetId="6" state="visible" r:id="rId6"/>
    <sheet xmlns:r="http://schemas.openxmlformats.org/officeDocument/2006/relationships" name="Bilanz" sheetId="7" state="visible" r:id="rId7"/>
    <sheet xmlns:r="http://schemas.openxmlformats.org/officeDocument/2006/relationships" name="Investitionsplan" sheetId="8" state="visible" r:id="rId8"/>
    <sheet xmlns:r="http://schemas.openxmlformats.org/officeDocument/2006/relationships" name="Kapitalbedarf" sheetId="9" state="visible" r:id="rId9"/>
    <sheet xmlns:r="http://schemas.openxmlformats.org/officeDocument/2006/relationships" name="Break-Even" sheetId="10" state="visible" r:id="rId10"/>
    <sheet xmlns:r="http://schemas.openxmlformats.org/officeDocument/2006/relationships" name="Sensitivität" sheetId="11" state="visible" r:id="rId11"/>
    <sheet xmlns:r="http://schemas.openxmlformats.org/officeDocument/2006/relationships" name="Schuldendien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1"/>
    </font>
    <font>
      <b val="1"/>
    </font>
    <font>
      <b val="1"/>
      <sz val="14"/>
    </font>
    <font>
      <i val="1"/>
    </font>
    <font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6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GREENSTYLE - FINANZMODELL DASHBOARD</t>
        </is>
      </c>
    </row>
    <row r="2">
      <c r="A2" s="2" t="inlineStr">
        <is>
          <t>Nachhaltige Mode Online - Businessplan 2025-2027</t>
        </is>
      </c>
    </row>
    <row r="4">
      <c r="A4" s="3" t="inlineStr">
        <is>
          <t>KEY PERFORMANCE INDICATORS</t>
        </is>
      </c>
    </row>
    <row r="5">
      <c r="A5" s="4" t="inlineStr">
        <is>
          <t>Kennzahl</t>
        </is>
      </c>
      <c r="B5" s="4" t="inlineStr">
        <is>
          <t>Jahr 1</t>
        </is>
      </c>
      <c r="C5" s="4" t="inlineStr">
        <is>
          <t>Jahr 2</t>
        </is>
      </c>
      <c r="D5" s="4" t="inlineStr">
        <is>
          <t>Jahr 3</t>
        </is>
      </c>
    </row>
    <row r="6">
      <c r="A6" s="5" t="inlineStr">
        <is>
          <t>Umsatz (€)</t>
        </is>
      </c>
      <c r="B6" s="5" t="inlineStr">
        <is>
          <t>285.000</t>
        </is>
      </c>
      <c r="C6" s="5" t="inlineStr">
        <is>
          <t>520.000</t>
        </is>
      </c>
      <c r="D6" s="5" t="inlineStr">
        <is>
          <t>780.000</t>
        </is>
      </c>
    </row>
    <row r="7">
      <c r="A7" s="5" t="inlineStr">
        <is>
          <t>EBITDA (€)</t>
        </is>
      </c>
      <c r="B7" s="5" t="inlineStr">
        <is>
          <t>81.940</t>
        </is>
      </c>
      <c r="C7" s="5" t="inlineStr">
        <is>
          <t>128.400</t>
        </is>
      </c>
      <c r="D7" s="5" t="inlineStr">
        <is>
          <t>165.720</t>
        </is>
      </c>
    </row>
    <row r="8">
      <c r="A8" s="5" t="inlineStr">
        <is>
          <t>Jahresüberschuss (€)</t>
        </is>
      </c>
      <c r="B8" s="5" t="inlineStr">
        <is>
          <t>69.065</t>
        </is>
      </c>
      <c r="C8" s="5" t="inlineStr">
        <is>
          <t>115.525</t>
        </is>
      </c>
      <c r="D8" s="5" t="inlineStr">
        <is>
          <t>106.991</t>
        </is>
      </c>
    </row>
    <row r="9">
      <c r="A9" t="inlineStr">
        <is>
          <t>EBITDA-Marge (%)</t>
        </is>
      </c>
      <c r="B9" t="inlineStr">
        <is>
          <t>28,5%</t>
        </is>
      </c>
      <c r="C9" t="inlineStr">
        <is>
          <t>24,5%</t>
        </is>
      </c>
      <c r="D9" t="inlineStr">
        <is>
          <t>21,0%</t>
        </is>
      </c>
    </row>
    <row r="10">
      <c r="A10" t="inlineStr">
        <is>
          <t>Nettomarge (%)</t>
        </is>
      </c>
      <c r="B10" t="inlineStr">
        <is>
          <t>24,0%</t>
        </is>
      </c>
      <c r="C10" t="inlineStr">
        <is>
          <t>22,0%</t>
        </is>
      </c>
      <c r="D10" t="inlineStr">
        <is>
          <t>13,6%</t>
        </is>
      </c>
    </row>
    <row r="11">
      <c r="A11" t="inlineStr"/>
      <c r="B11" t="inlineStr"/>
      <c r="C11" t="inlineStr"/>
      <c r="D11" t="inlineStr"/>
    </row>
    <row r="12">
      <c r="A12" t="inlineStr">
        <is>
          <t>Kunden</t>
        </is>
      </c>
      <c r="B12" t="inlineStr">
        <is>
          <t>2.000</t>
        </is>
      </c>
      <c r="C12" t="inlineStr">
        <is>
          <t>3.800</t>
        </is>
      </c>
      <c r="D12" t="inlineStr">
        <is>
          <t>5.700</t>
        </is>
      </c>
    </row>
    <row r="13">
      <c r="A13" t="inlineStr">
        <is>
          <t>Ø Warenkorbwert (€)</t>
        </is>
      </c>
      <c r="B13" t="inlineStr">
        <is>
          <t>142</t>
        </is>
      </c>
      <c r="C13" t="inlineStr">
        <is>
          <t>137</t>
        </is>
      </c>
      <c r="D13" t="inlineStr">
        <is>
          <t>137</t>
        </is>
      </c>
    </row>
    <row r="14">
      <c r="A14" t="inlineStr">
        <is>
          <t>Bestellungen</t>
        </is>
      </c>
      <c r="B14" t="inlineStr">
        <is>
          <t>2.020</t>
        </is>
      </c>
      <c r="C14" t="inlineStr">
        <is>
          <t>4.150</t>
        </is>
      </c>
      <c r="D14" t="inlineStr">
        <is>
          <t>6.900</t>
        </is>
      </c>
    </row>
    <row r="15">
      <c r="A15" t="inlineStr"/>
      <c r="B15" t="inlineStr"/>
      <c r="C15" t="inlineStr"/>
      <c r="D15" t="inlineStr"/>
    </row>
    <row r="16">
      <c r="A16" t="inlineStr">
        <is>
          <t>Liquidität (€)</t>
        </is>
      </c>
      <c r="B16" t="inlineStr">
        <is>
          <t>171.190</t>
        </is>
      </c>
      <c r="C16" t="inlineStr">
        <is>
          <t>263.790</t>
        </is>
      </c>
      <c r="D16" t="inlineStr">
        <is>
          <t>329.856</t>
        </is>
      </c>
    </row>
    <row r="17">
      <c r="A17" t="inlineStr">
        <is>
          <t>Eigenkapitalquote (%)</t>
        </is>
      </c>
      <c r="B17" t="inlineStr">
        <is>
          <t>39,4%</t>
        </is>
      </c>
      <c r="C17" t="inlineStr">
        <is>
          <t>59,7%</t>
        </is>
      </c>
      <c r="D17" t="inlineStr">
        <is>
          <t>71,8%</t>
        </is>
      </c>
    </row>
    <row r="18">
      <c r="A18" t="inlineStr">
        <is>
          <t>DSCR</t>
        </is>
      </c>
      <c r="B18" t="inlineStr">
        <is>
          <t>17,1</t>
        </is>
      </c>
      <c r="C18" t="inlineStr">
        <is>
          <t>13,1</t>
        </is>
      </c>
      <c r="D18" t="inlineStr">
        <is>
          <t>6,1</t>
        </is>
      </c>
    </row>
    <row r="21">
      <c r="A21" s="3" t="inlineStr">
        <is>
          <t>FINANZIERUNG</t>
        </is>
      </c>
    </row>
    <row r="22">
      <c r="A22" s="5" t="inlineStr">
        <is>
          <t>Quelle</t>
        </is>
      </c>
      <c r="B22" s="5" t="inlineStr">
        <is>
          <t>Betrag (€)</t>
        </is>
      </c>
      <c r="C22" s="5" t="inlineStr">
        <is>
          <t>Anteil</t>
        </is>
      </c>
    </row>
    <row r="23">
      <c r="A23" t="inlineStr">
        <is>
          <t>Eigenkapital</t>
        </is>
      </c>
      <c r="B23" t="inlineStr">
        <is>
          <t>25.000</t>
        </is>
      </c>
      <c r="C23" t="inlineStr">
        <is>
          <t>20%</t>
        </is>
      </c>
    </row>
    <row r="24">
      <c r="A24" t="inlineStr">
        <is>
          <t>KfW-Kredit</t>
        </is>
      </c>
      <c r="B24" t="inlineStr">
        <is>
          <t>80.000</t>
        </is>
      </c>
      <c r="C24" t="inlineStr">
        <is>
          <t>64%</t>
        </is>
      </c>
    </row>
    <row r="25">
      <c r="A25" t="inlineStr">
        <is>
          <t>Sparkassen-Kredit</t>
        </is>
      </c>
      <c r="B25" t="inlineStr">
        <is>
          <t>20.000</t>
        </is>
      </c>
      <c r="C25" t="inlineStr">
        <is>
          <t>16%</t>
        </is>
      </c>
    </row>
    <row r="26">
      <c r="A26" s="5" t="inlineStr">
        <is>
          <t>GESAMT</t>
        </is>
      </c>
      <c r="B26" s="5" t="inlineStr">
        <is>
          <t>125.000</t>
        </is>
      </c>
      <c r="C26" s="5" t="inlineStr">
        <is>
          <t>100%</t>
        </is>
      </c>
    </row>
    <row r="28">
      <c r="A28" s="3" t="inlineStr">
        <is>
          <t>MEILENSTEINE</t>
        </is>
      </c>
    </row>
    <row r="29">
      <c r="A29" s="5" t="inlineStr">
        <is>
          <t>Meilenstein</t>
        </is>
      </c>
      <c r="B29" s="5" t="inlineStr">
        <is>
          <t>Zeitpunkt</t>
        </is>
      </c>
      <c r="C29" s="5" t="inlineStr">
        <is>
          <t>Status</t>
        </is>
      </c>
    </row>
    <row r="30">
      <c r="A30" t="inlineStr">
        <is>
          <t>Operativer Break-Even</t>
        </is>
      </c>
      <c r="B30" t="inlineStr">
        <is>
          <t>Monat 1 (Apr 2025)</t>
        </is>
      </c>
      <c r="C30" t="inlineStr">
        <is>
          <t>✓</t>
        </is>
      </c>
    </row>
    <row r="31">
      <c r="A31" t="inlineStr">
        <is>
          <t>Kumulierter Break-Even</t>
        </is>
      </c>
      <c r="B31" t="inlineStr">
        <is>
          <t>Monat 18 (Sep 2026)</t>
        </is>
      </c>
      <c r="C31" t="inlineStr">
        <is>
          <t>Geplant</t>
        </is>
      </c>
    </row>
    <row r="32">
      <c r="A32" t="inlineStr">
        <is>
          <t>Profitabilität</t>
        </is>
      </c>
      <c r="B32" t="inlineStr">
        <is>
          <t>Jahr 1</t>
        </is>
      </c>
      <c r="C32" t="inlineStr">
        <is>
          <t>Geplant</t>
        </is>
      </c>
    </row>
    <row r="33">
      <c r="A33" t="inlineStr">
        <is>
          <t>Marktplatz-Integration</t>
        </is>
      </c>
      <c r="B33" t="inlineStr">
        <is>
          <t>Jahr 2</t>
        </is>
      </c>
      <c r="C33" t="inlineStr">
        <is>
          <t>Geplant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FINANZMODELL GREENSTYLE</t>
        </is>
      </c>
    </row>
    <row r="2">
      <c r="A2" s="6" t="inlineStr">
        <is>
          <t>Planungsannahmen</t>
        </is>
      </c>
    </row>
    <row r="3">
      <c r="A3" t="inlineStr">
        <is>
          <t>Stand: 23.02.2026</t>
        </is>
      </c>
    </row>
    <row r="5">
      <c r="A5" s="7" t="inlineStr">
        <is>
          <t>UMSATZANNAHMEN</t>
        </is>
      </c>
    </row>
    <row r="6">
      <c r="A6" s="5" t="inlineStr"/>
      <c r="B6" s="5" t="inlineStr">
        <is>
          <t>Jahr 1</t>
        </is>
      </c>
      <c r="C6" s="5" t="inlineStr">
        <is>
          <t>Jahr 2</t>
        </is>
      </c>
      <c r="D6" s="5" t="inlineStr">
        <is>
          <t>Jahr 3</t>
        </is>
      </c>
    </row>
    <row r="7">
      <c r="A7" t="inlineStr">
        <is>
          <t>Anzahl Kunden</t>
        </is>
      </c>
      <c r="B7" t="n">
        <v>2000</v>
      </c>
      <c r="C7" t="n">
        <v>3800</v>
      </c>
      <c r="D7" t="n">
        <v>5700</v>
      </c>
    </row>
    <row r="8">
      <c r="A8" t="inlineStr">
        <is>
          <t>Durchschn. Warenkorbwert (€)</t>
        </is>
      </c>
      <c r="B8" t="n">
        <v>142</v>
      </c>
      <c r="C8" t="n">
        <v>137</v>
      </c>
      <c r="D8" t="n">
        <v>137</v>
      </c>
    </row>
    <row r="9">
      <c r="A9" t="inlineStr">
        <is>
          <t>Käufe pro Kunde</t>
        </is>
      </c>
      <c r="B9" t="n">
        <v>1</v>
      </c>
      <c r="C9" t="n">
        <v>1.4</v>
      </c>
      <c r="D9" t="n">
        <v>1.4</v>
      </c>
    </row>
    <row r="10">
      <c r="A10" t="inlineStr">
        <is>
          <t>Wiederkaufrate</t>
        </is>
      </c>
      <c r="B10" t="inlineStr">
        <is>
          <t>0%</t>
        </is>
      </c>
      <c r="C10" t="inlineStr">
        <is>
          <t>30%</t>
        </is>
      </c>
      <c r="D10" t="inlineStr">
        <is>
          <t>40%</t>
        </is>
      </c>
    </row>
    <row r="11">
      <c r="A11" t="inlineStr">
        <is>
          <t>Monatl. Wachstum (Ø)</t>
        </is>
      </c>
      <c r="B11" t="inlineStr">
        <is>
          <t>12%</t>
        </is>
      </c>
      <c r="C11" t="inlineStr">
        <is>
          <t>8%</t>
        </is>
      </c>
      <c r="D11" t="inlineStr">
        <is>
          <t>6%</t>
        </is>
      </c>
    </row>
    <row r="12">
      <c r="A12" t="inlineStr"/>
      <c r="B12" t="inlineStr"/>
      <c r="C12" t="inlineStr"/>
      <c r="D12" t="inlineStr"/>
    </row>
    <row r="13">
      <c r="A13" t="inlineStr">
        <is>
          <t>Berechneter Umsatz (€)</t>
        </is>
      </c>
      <c r="B13" t="n">
        <v>285000</v>
      </c>
      <c r="C13" t="n">
        <v>520000</v>
      </c>
      <c r="D13" t="n">
        <v>780000</v>
      </c>
    </row>
    <row r="15">
      <c r="A15" s="7" t="inlineStr">
        <is>
          <t>KOSTENSTRUKTUR</t>
        </is>
      </c>
    </row>
    <row r="16">
      <c r="A16" s="5" t="inlineStr"/>
      <c r="B16" s="5" t="inlineStr">
        <is>
          <t>% vom Umsatz</t>
        </is>
      </c>
      <c r="C16" s="5" t="inlineStr">
        <is>
          <t>Fixbetrag/Jahr</t>
        </is>
      </c>
    </row>
    <row r="17">
      <c r="A17" t="inlineStr">
        <is>
          <t>Wareneinsatz (COGS)</t>
        </is>
      </c>
      <c r="B17" t="inlineStr">
        <is>
          <t>50%</t>
        </is>
      </c>
      <c r="C17" t="inlineStr"/>
    </row>
    <row r="18">
      <c r="A18" t="inlineStr">
        <is>
          <t>Versandkosten</t>
        </is>
      </c>
      <c r="B18" t="inlineStr">
        <is>
          <t>2,5%</t>
        </is>
      </c>
      <c r="C18" t="inlineStr"/>
    </row>
    <row r="19">
      <c r="A19" t="inlineStr">
        <is>
          <t>Retourenkosten</t>
        </is>
      </c>
      <c r="B19" t="inlineStr">
        <is>
          <t>4,0%</t>
        </is>
      </c>
      <c r="C19" t="inlineStr"/>
    </row>
    <row r="20">
      <c r="A20" t="inlineStr">
        <is>
          <t>Zahlungsgebühren</t>
        </is>
      </c>
      <c r="B20" t="inlineStr">
        <is>
          <t>2,5%</t>
        </is>
      </c>
      <c r="C20" t="inlineStr"/>
    </row>
    <row r="21">
      <c r="A21" t="inlineStr">
        <is>
          <t>Verpackung</t>
        </is>
      </c>
      <c r="B21" t="inlineStr">
        <is>
          <t>1,0%</t>
        </is>
      </c>
      <c r="C21" t="inlineStr"/>
    </row>
    <row r="22">
      <c r="A22" t="inlineStr"/>
      <c r="B22" t="inlineStr"/>
      <c r="C22" t="inlineStr"/>
    </row>
    <row r="23">
      <c r="A23" t="inlineStr">
        <is>
          <t>Marketing</t>
        </is>
      </c>
      <c r="B23" t="inlineStr">
        <is>
          <t>8,8% / 10,7% / 11,6%</t>
        </is>
      </c>
      <c r="C23" t="inlineStr"/>
    </row>
    <row r="24">
      <c r="A24" t="inlineStr">
        <is>
          <t>Software/IT</t>
        </is>
      </c>
      <c r="B24" t="inlineStr"/>
      <c r="C24" t="inlineStr">
        <is>
          <t>2.160 €</t>
        </is>
      </c>
    </row>
    <row r="25">
      <c r="A25" t="inlineStr">
        <is>
          <t>Steuerberatung</t>
        </is>
      </c>
      <c r="B25" t="inlineStr"/>
      <c r="C25" t="inlineStr">
        <is>
          <t>3.000 €</t>
        </is>
      </c>
    </row>
    <row r="26">
      <c r="A26" t="inlineStr">
        <is>
          <t>Versicherungen</t>
        </is>
      </c>
      <c r="B26" t="inlineStr"/>
      <c r="C26" t="inlineStr">
        <is>
          <t>1.400 €</t>
        </is>
      </c>
    </row>
    <row r="28">
      <c r="A28" s="7" t="inlineStr">
        <is>
          <t>FINANZIERUNG</t>
        </is>
      </c>
    </row>
    <row r="29">
      <c r="A29" s="5" t="inlineStr"/>
      <c r="B29" s="5" t="inlineStr">
        <is>
          <t>Betrag (€)</t>
        </is>
      </c>
      <c r="C29" s="5" t="inlineStr">
        <is>
          <t>Zinssatz</t>
        </is>
      </c>
      <c r="D29" s="5" t="inlineStr">
        <is>
          <t>Laufzeit</t>
        </is>
      </c>
    </row>
    <row r="30">
      <c r="A30" t="inlineStr">
        <is>
          <t>Eigenkapital</t>
        </is>
      </c>
      <c r="B30" t="n">
        <v>25000</v>
      </c>
      <c r="C30" t="inlineStr">
        <is>
          <t>-</t>
        </is>
      </c>
      <c r="D30" t="inlineStr">
        <is>
          <t>-</t>
        </is>
      </c>
    </row>
    <row r="31">
      <c r="A31" t="inlineStr">
        <is>
          <t>KfW-Kredit</t>
        </is>
      </c>
      <c r="B31" t="n">
        <v>80000</v>
      </c>
      <c r="C31" t="inlineStr">
        <is>
          <t>4,5%</t>
        </is>
      </c>
      <c r="D31" t="inlineStr">
        <is>
          <t>10 Jahre</t>
        </is>
      </c>
    </row>
    <row r="32">
      <c r="A32" t="inlineStr">
        <is>
          <t>Sparkassen-Kredit</t>
        </is>
      </c>
      <c r="B32" t="n">
        <v>20000</v>
      </c>
      <c r="C32" t="inlineStr">
        <is>
          <t>6,0%</t>
        </is>
      </c>
      <c r="D32" t="inlineStr">
        <is>
          <t>5 Jahre</t>
        </is>
      </c>
    </row>
    <row r="33">
      <c r="A33" s="5" t="inlineStr">
        <is>
          <t>GESAMT</t>
        </is>
      </c>
      <c r="B33" s="5" t="n">
        <v>125000</v>
      </c>
      <c r="C33" s="5" t="inlineStr"/>
      <c r="D3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UMSATZPLANUNG</t>
        </is>
      </c>
    </row>
    <row r="3">
      <c r="A3" s="5" t="inlineStr">
        <is>
          <t>Jahr 1 (2025) - Monatlich</t>
        </is>
      </c>
    </row>
    <row r="4">
      <c r="A4" s="4" t="inlineStr">
        <is>
          <t>Monat</t>
        </is>
      </c>
      <c r="B4" s="4" t="inlineStr">
        <is>
          <t>Bestellungen</t>
        </is>
      </c>
      <c r="C4" s="4" t="inlineStr">
        <is>
          <t>Ø Warenkorb (€)</t>
        </is>
      </c>
      <c r="D4" s="4" t="inlineStr">
        <is>
          <t>Umsatz (€)</t>
        </is>
      </c>
      <c r="E4" s="4" t="inlineStr">
        <is>
          <t>Kumuliert (€)</t>
        </is>
      </c>
    </row>
    <row r="5">
      <c r="A5" t="inlineStr">
        <is>
          <t>Apr</t>
        </is>
      </c>
      <c r="B5" t="n">
        <v>50</v>
      </c>
      <c r="C5" t="n">
        <v>150</v>
      </c>
      <c r="D5" t="n">
        <v>7500</v>
      </c>
      <c r="E5" t="n">
        <v>7500</v>
      </c>
    </row>
    <row r="6">
      <c r="A6" t="inlineStr">
        <is>
          <t>Mai</t>
        </is>
      </c>
      <c r="B6" t="n">
        <v>75</v>
      </c>
      <c r="C6" t="n">
        <v>145</v>
      </c>
      <c r="D6" t="n">
        <v>10875</v>
      </c>
      <c r="E6" t="n">
        <v>18375</v>
      </c>
    </row>
    <row r="7">
      <c r="A7" t="inlineStr">
        <is>
          <t>Jun</t>
        </is>
      </c>
      <c r="B7" t="n">
        <v>110</v>
      </c>
      <c r="C7" t="n">
        <v>143</v>
      </c>
      <c r="D7" t="n">
        <v>15730</v>
      </c>
      <c r="E7" t="n">
        <v>34105</v>
      </c>
    </row>
    <row r="8">
      <c r="A8" t="inlineStr">
        <is>
          <t>Jul</t>
        </is>
      </c>
      <c r="B8" t="n">
        <v>150</v>
      </c>
      <c r="C8" t="n">
        <v>142</v>
      </c>
      <c r="D8" t="n">
        <v>21300</v>
      </c>
      <c r="E8" t="n">
        <v>55405</v>
      </c>
    </row>
    <row r="9">
      <c r="A9" t="inlineStr">
        <is>
          <t>Aug</t>
        </is>
      </c>
      <c r="B9" t="n">
        <v>200</v>
      </c>
      <c r="C9" t="n">
        <v>140</v>
      </c>
      <c r="D9" t="n">
        <v>28000</v>
      </c>
      <c r="E9" t="n">
        <v>83405</v>
      </c>
    </row>
    <row r="10">
      <c r="A10" t="inlineStr">
        <is>
          <t>Sep</t>
        </is>
      </c>
      <c r="B10" t="n">
        <v>250</v>
      </c>
      <c r="C10" t="n">
        <v>140</v>
      </c>
      <c r="D10" t="n">
        <v>35000</v>
      </c>
      <c r="E10" t="n">
        <v>118405</v>
      </c>
    </row>
    <row r="11">
      <c r="A11" t="inlineStr">
        <is>
          <t>Okt</t>
        </is>
      </c>
      <c r="B11" t="n">
        <v>300</v>
      </c>
      <c r="C11" t="n">
        <v>140</v>
      </c>
      <c r="D11" t="n">
        <v>42000</v>
      </c>
      <c r="E11" t="n">
        <v>160405</v>
      </c>
    </row>
    <row r="12">
      <c r="A12" t="inlineStr">
        <is>
          <t>Nov</t>
        </is>
      </c>
      <c r="B12" t="n">
        <v>350</v>
      </c>
      <c r="C12" t="n">
        <v>140</v>
      </c>
      <c r="D12" t="n">
        <v>49000</v>
      </c>
      <c r="E12" t="n">
        <v>209405</v>
      </c>
    </row>
    <row r="13">
      <c r="A13" t="inlineStr">
        <is>
          <t>Dez</t>
        </is>
      </c>
      <c r="B13" t="n">
        <v>400</v>
      </c>
      <c r="C13" t="n">
        <v>142</v>
      </c>
      <c r="D13" t="n">
        <v>56800</v>
      </c>
      <c r="E13" t="n">
        <v>266205</v>
      </c>
    </row>
    <row r="14">
      <c r="A14" t="inlineStr">
        <is>
          <t>Jan</t>
        </is>
      </c>
      <c r="B14" t="n">
        <v>100</v>
      </c>
      <c r="C14" t="n">
        <v>138</v>
      </c>
      <c r="D14" t="n">
        <v>13800</v>
      </c>
      <c r="E14" t="n">
        <v>280005</v>
      </c>
    </row>
    <row r="15">
      <c r="A15" t="inlineStr">
        <is>
          <t>Feb</t>
        </is>
      </c>
      <c r="B15" t="n">
        <v>35</v>
      </c>
      <c r="C15" t="n">
        <v>143</v>
      </c>
      <c r="D15" t="n">
        <v>5005</v>
      </c>
      <c r="E15" t="n">
        <v>285010</v>
      </c>
    </row>
    <row r="16">
      <c r="A16" s="5" t="inlineStr">
        <is>
          <t>GESAMT Jahr 1</t>
        </is>
      </c>
      <c r="B16" t="n">
        <v>2020</v>
      </c>
      <c r="C16" t="n">
        <v>141</v>
      </c>
      <c r="D16" t="n">
        <v>285010</v>
      </c>
      <c r="E16" t="n">
        <v>285010</v>
      </c>
    </row>
    <row r="19">
      <c r="A19" s="5" t="inlineStr">
        <is>
          <t>Jahr 2-3 - Quartalsweise</t>
        </is>
      </c>
    </row>
    <row r="20">
      <c r="A20" s="4" t="inlineStr">
        <is>
          <t>Periode</t>
        </is>
      </c>
      <c r="B20" s="4" t="inlineStr">
        <is>
          <t>Bestellungen</t>
        </is>
      </c>
      <c r="C20" s="4" t="inlineStr">
        <is>
          <t>Ø Warenkorb (€)</t>
        </is>
      </c>
      <c r="D20" s="4" t="inlineStr">
        <is>
          <t>Umsatz (€)</t>
        </is>
      </c>
    </row>
    <row r="21">
      <c r="A21" t="inlineStr">
        <is>
          <t>2026 Q1</t>
        </is>
      </c>
      <c r="B21" t="n">
        <v>800</v>
      </c>
      <c r="C21" t="n">
        <v>135</v>
      </c>
      <c r="D21" t="n">
        <v>108000</v>
      </c>
    </row>
    <row r="22">
      <c r="A22" t="inlineStr">
        <is>
          <t>2026 Q2</t>
        </is>
      </c>
      <c r="B22" t="n">
        <v>950</v>
      </c>
      <c r="C22" t="n">
        <v>137</v>
      </c>
      <c r="D22" t="n">
        <v>130150</v>
      </c>
    </row>
    <row r="23">
      <c r="A23" t="inlineStr">
        <is>
          <t>2026 Q3</t>
        </is>
      </c>
      <c r="B23" t="n">
        <v>1100</v>
      </c>
      <c r="C23" t="n">
        <v>138</v>
      </c>
      <c r="D23" t="n">
        <v>151800</v>
      </c>
    </row>
    <row r="24">
      <c r="A24" t="inlineStr">
        <is>
          <t>2026 Q4</t>
        </is>
      </c>
      <c r="B24" t="n">
        <v>1300</v>
      </c>
      <c r="C24" t="n">
        <v>138</v>
      </c>
      <c r="D24" t="n">
        <v>179400</v>
      </c>
    </row>
    <row r="25">
      <c r="A25" s="5" t="inlineStr">
        <is>
          <t>Jahr 2 GESAMT</t>
        </is>
      </c>
      <c r="B25" s="5" t="n">
        <v>4150</v>
      </c>
      <c r="C25" s="5" t="n">
        <v>137</v>
      </c>
      <c r="D25" s="5" t="n">
        <v>569350</v>
      </c>
    </row>
    <row r="26">
      <c r="A26" t="inlineStr"/>
      <c r="B26" t="inlineStr"/>
      <c r="C26" t="inlineStr"/>
      <c r="D26" t="inlineStr"/>
    </row>
    <row r="27">
      <c r="A27" t="inlineStr">
        <is>
          <t>2027 Q1</t>
        </is>
      </c>
      <c r="B27" t="n">
        <v>1400</v>
      </c>
      <c r="C27" t="n">
        <v>137</v>
      </c>
      <c r="D27" t="n">
        <v>191800</v>
      </c>
    </row>
    <row r="28">
      <c r="A28" t="inlineStr">
        <is>
          <t>2027 Q2</t>
        </is>
      </c>
      <c r="B28" t="n">
        <v>1600</v>
      </c>
      <c r="C28" t="n">
        <v>137</v>
      </c>
      <c r="D28" t="n">
        <v>219200</v>
      </c>
    </row>
    <row r="29">
      <c r="A29" t="inlineStr">
        <is>
          <t>2027 Q3</t>
        </is>
      </c>
      <c r="B29" t="n">
        <v>1800</v>
      </c>
      <c r="C29" t="n">
        <v>137</v>
      </c>
      <c r="D29" t="n">
        <v>246600</v>
      </c>
    </row>
    <row r="30">
      <c r="A30" t="inlineStr">
        <is>
          <t>2027 Q4</t>
        </is>
      </c>
      <c r="B30" t="n">
        <v>2100</v>
      </c>
      <c r="C30" t="n">
        <v>137</v>
      </c>
      <c r="D30" t="n">
        <v>287700</v>
      </c>
    </row>
    <row r="31">
      <c r="A31" s="5" t="inlineStr">
        <is>
          <t>Jahr 3 GESAMT</t>
        </is>
      </c>
      <c r="B31" s="5" t="n">
        <v>6900</v>
      </c>
      <c r="C31" s="5" t="n">
        <v>137</v>
      </c>
      <c r="D31" s="5" t="n">
        <v>945300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KOSTENPLANUNG (3 Jahre)</t>
        </is>
      </c>
    </row>
    <row r="3">
      <c r="A3" s="4" t="inlineStr">
        <is>
          <t>Kostenart</t>
        </is>
      </c>
      <c r="B3" s="4" t="inlineStr">
        <is>
          <t>Jahr 1 (€)</t>
        </is>
      </c>
      <c r="C3" s="4" t="inlineStr">
        <is>
          <t>Jahr 2 (€)</t>
        </is>
      </c>
      <c r="D3" s="4" t="inlineStr">
        <is>
          <t>Jahr 3 (€)</t>
        </is>
      </c>
    </row>
    <row r="4">
      <c r="A4" s="9" t="inlineStr">
        <is>
          <t>VARIABLE KOSTEN</t>
        </is>
      </c>
      <c r="B4" s="9" t="inlineStr"/>
      <c r="C4" s="9" t="inlineStr"/>
      <c r="D4" s="9" t="inlineStr"/>
    </row>
    <row r="5">
      <c r="A5" t="inlineStr">
        <is>
          <t>Wareneinsatz (COGS)</t>
        </is>
      </c>
      <c r="B5" t="n">
        <v>142500</v>
      </c>
      <c r="C5" t="n">
        <v>260000</v>
      </c>
      <c r="D5" t="n">
        <v>390000</v>
      </c>
    </row>
    <row r="6">
      <c r="A6" t="inlineStr">
        <is>
          <t>Versandkosten</t>
        </is>
      </c>
      <c r="B6" t="n">
        <v>7125</v>
      </c>
      <c r="C6" t="n">
        <v>13000</v>
      </c>
      <c r="D6" t="n">
        <v>19500</v>
      </c>
    </row>
    <row r="7">
      <c r="A7" t="inlineStr">
        <is>
          <t>Retourenkosten</t>
        </is>
      </c>
      <c r="B7" t="n">
        <v>11400</v>
      </c>
      <c r="C7" t="n">
        <v>20800</v>
      </c>
      <c r="D7" t="n">
        <v>31200</v>
      </c>
    </row>
    <row r="8">
      <c r="A8" t="inlineStr">
        <is>
          <t>Zahlungsgebühren</t>
        </is>
      </c>
      <c r="B8" t="n">
        <v>7125</v>
      </c>
      <c r="C8" t="n">
        <v>13000</v>
      </c>
      <c r="D8" t="n">
        <v>19500</v>
      </c>
    </row>
    <row r="9">
      <c r="A9" t="inlineStr">
        <is>
          <t>Verpackung</t>
        </is>
      </c>
      <c r="B9" t="n">
        <v>2850</v>
      </c>
      <c r="C9" t="n">
        <v>5200</v>
      </c>
      <c r="D9" t="n">
        <v>7800</v>
      </c>
    </row>
    <row r="10">
      <c r="A10" s="5" t="inlineStr">
        <is>
          <t>Summe variabel</t>
        </is>
      </c>
      <c r="B10" s="5" t="n">
        <v>171000</v>
      </c>
      <c r="C10" s="5" t="n">
        <v>312000</v>
      </c>
      <c r="D10" s="5" t="n">
        <v>468000</v>
      </c>
    </row>
    <row r="11">
      <c r="A11" t="inlineStr"/>
      <c r="B11" t="inlineStr"/>
      <c r="C11" t="inlineStr"/>
      <c r="D11" t="inlineStr"/>
    </row>
    <row r="12">
      <c r="A12" s="9" t="inlineStr">
        <is>
          <t>FIXKOSTEN</t>
        </is>
      </c>
      <c r="B12" s="9" t="inlineStr"/>
      <c r="C12" s="9" t="inlineStr"/>
      <c r="D12" s="9" t="inlineStr"/>
    </row>
    <row r="13">
      <c r="A13" t="inlineStr">
        <is>
          <t>Personalkosten</t>
        </is>
      </c>
      <c r="B13" t="n">
        <v>0</v>
      </c>
      <c r="C13" t="n">
        <v>12600</v>
      </c>
      <c r="D13" t="n">
        <v>38400</v>
      </c>
    </row>
    <row r="14">
      <c r="A14" t="inlineStr">
        <is>
          <t>Marketing</t>
        </is>
      </c>
      <c r="B14" t="n">
        <v>25000</v>
      </c>
      <c r="C14" t="n">
        <v>55800</v>
      </c>
      <c r="D14" t="n">
        <v>90200</v>
      </c>
    </row>
    <row r="15">
      <c r="A15" t="inlineStr">
        <is>
          <t>Miete/Büro</t>
        </is>
      </c>
      <c r="B15" t="n">
        <v>0</v>
      </c>
      <c r="C15" t="n">
        <v>3600</v>
      </c>
      <c r="D15" t="n">
        <v>9600</v>
      </c>
    </row>
    <row r="16">
      <c r="A16" t="inlineStr">
        <is>
          <t>Software/IT</t>
        </is>
      </c>
      <c r="B16" t="n">
        <v>2160</v>
      </c>
      <c r="C16" t="n">
        <v>2400</v>
      </c>
      <c r="D16" t="n">
        <v>2880</v>
      </c>
    </row>
    <row r="17">
      <c r="A17" t="inlineStr">
        <is>
          <t>Steuerberatung</t>
        </is>
      </c>
      <c r="B17" t="n">
        <v>3000</v>
      </c>
      <c r="C17" t="n">
        <v>3600</v>
      </c>
      <c r="D17" t="n">
        <v>4200</v>
      </c>
    </row>
    <row r="18">
      <c r="A18" t="inlineStr">
        <is>
          <t>Versicherungen</t>
        </is>
      </c>
      <c r="B18" t="n">
        <v>1400</v>
      </c>
      <c r="C18" t="n">
        <v>2600</v>
      </c>
      <c r="D18" t="n">
        <v>3000</v>
      </c>
    </row>
    <row r="19">
      <c r="A19" t="inlineStr">
        <is>
          <t>Rechtsberatung</t>
        </is>
      </c>
      <c r="B19" t="n">
        <v>1500</v>
      </c>
      <c r="C19" t="n">
        <v>1000</v>
      </c>
      <c r="D19" t="n">
        <v>1000</v>
      </c>
    </row>
    <row r="20">
      <c r="A20" t="inlineStr">
        <is>
          <t>Sonstiges</t>
        </is>
      </c>
      <c r="B20" t="n">
        <v>2000</v>
      </c>
      <c r="C20" t="n">
        <v>3000</v>
      </c>
      <c r="D20" t="n">
        <v>4000</v>
      </c>
    </row>
    <row r="21">
      <c r="A21" s="5" t="inlineStr">
        <is>
          <t>Summe fix</t>
        </is>
      </c>
      <c r="B21" s="5" t="n">
        <v>35060</v>
      </c>
      <c r="C21" s="5" t="n">
        <v>84600</v>
      </c>
      <c r="D21" s="5" t="n">
        <v>153280</v>
      </c>
    </row>
    <row r="22">
      <c r="A22" t="inlineStr"/>
      <c r="B22" t="inlineStr"/>
      <c r="C22" t="inlineStr"/>
      <c r="D22" t="inlineStr"/>
    </row>
    <row r="23">
      <c r="A23" s="5" t="inlineStr">
        <is>
          <t>GESAMTKOSTEN</t>
        </is>
      </c>
      <c r="B23" s="5" t="n">
        <v>206060</v>
      </c>
      <c r="C23" s="5" t="n">
        <v>396600</v>
      </c>
      <c r="D23" s="5" t="n">
        <v>621280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GEWINN- UND VERLUSTRECHNUNG (GuV)</t>
        </is>
      </c>
    </row>
    <row r="3">
      <c r="A3" s="4" t="inlineStr">
        <is>
          <t>Position</t>
        </is>
      </c>
      <c r="B3" s="4" t="inlineStr">
        <is>
          <t>Jahr 1 (€)</t>
        </is>
      </c>
      <c r="C3" s="4" t="inlineStr">
        <is>
          <t>Jahr 2 (€)</t>
        </is>
      </c>
      <c r="D3" s="4" t="inlineStr">
        <is>
          <t>Jahr 3 (€)</t>
        </is>
      </c>
    </row>
    <row r="4">
      <c r="A4" t="inlineStr">
        <is>
          <t>Umsatzerlöse</t>
        </is>
      </c>
      <c r="B4" t="n">
        <v>285000</v>
      </c>
      <c r="C4" t="n">
        <v>520000</v>
      </c>
      <c r="D4" t="n">
        <v>780000</v>
      </c>
    </row>
    <row r="5">
      <c r="A5" t="inlineStr">
        <is>
          <t>Versandeinnahmen</t>
        </is>
      </c>
      <c r="B5" t="n">
        <v>3000</v>
      </c>
      <c r="C5" t="n">
        <v>5000</v>
      </c>
      <c r="D5" t="n">
        <v>7000</v>
      </c>
    </row>
    <row r="6">
      <c r="A6" s="10" t="inlineStr">
        <is>
          <t>Gesamterlöse</t>
        </is>
      </c>
      <c r="B6" s="10" t="n">
        <v>288000</v>
      </c>
      <c r="C6" s="10" t="n">
        <v>525000</v>
      </c>
      <c r="D6" s="10" t="n">
        <v>787000</v>
      </c>
    </row>
    <row r="7">
      <c r="A7" t="inlineStr"/>
      <c r="B7" t="inlineStr"/>
      <c r="C7" t="inlineStr"/>
      <c r="D7" t="inlineStr"/>
    </row>
    <row r="8">
      <c r="A8" t="inlineStr">
        <is>
          <t>Wareneinsatz</t>
        </is>
      </c>
      <c r="B8" t="n">
        <v>-142500</v>
      </c>
      <c r="C8" t="n">
        <v>-260000</v>
      </c>
      <c r="D8" t="n">
        <v>-390000</v>
      </c>
    </row>
    <row r="9">
      <c r="A9" s="10" t="inlineStr">
        <is>
          <t>BRUTTOGEWINN</t>
        </is>
      </c>
      <c r="B9" s="10" t="n">
        <v>145500</v>
      </c>
      <c r="C9" s="10" t="n">
        <v>265000</v>
      </c>
      <c r="D9" s="10" t="n">
        <v>397000</v>
      </c>
    </row>
    <row r="10">
      <c r="A10" t="inlineStr">
        <is>
          <t>Bruttomarge (%)</t>
        </is>
      </c>
      <c r="B10" t="inlineStr">
        <is>
          <t>50,5%</t>
        </is>
      </c>
      <c r="C10" t="inlineStr">
        <is>
          <t>50,5%</t>
        </is>
      </c>
      <c r="D10" t="inlineStr">
        <is>
          <t>50,4%</t>
        </is>
      </c>
    </row>
    <row r="11">
      <c r="A11" t="inlineStr"/>
      <c r="B11" t="inlineStr"/>
      <c r="C11" t="inlineStr"/>
      <c r="D11" t="inlineStr"/>
    </row>
    <row r="12">
      <c r="A12" s="5" t="inlineStr">
        <is>
          <t>BETRIEBSAUSGABEN</t>
        </is>
      </c>
      <c r="B12" s="5" t="inlineStr"/>
      <c r="C12" s="5" t="inlineStr"/>
      <c r="D12" s="5" t="inlineStr"/>
    </row>
    <row r="13">
      <c r="A13" t="inlineStr">
        <is>
          <t>Versandkosten</t>
        </is>
      </c>
      <c r="B13" t="n">
        <v>-7125</v>
      </c>
      <c r="C13" t="n">
        <v>-13000</v>
      </c>
      <c r="D13" t="n">
        <v>-19500</v>
      </c>
    </row>
    <row r="14">
      <c r="A14" t="inlineStr">
        <is>
          <t>Retourenkosten</t>
        </is>
      </c>
      <c r="B14" t="n">
        <v>-11400</v>
      </c>
      <c r="C14" t="n">
        <v>-20800</v>
      </c>
      <c r="D14" t="n">
        <v>-31200</v>
      </c>
    </row>
    <row r="15">
      <c r="A15" t="inlineStr">
        <is>
          <t>Zahlungsgebühren</t>
        </is>
      </c>
      <c r="B15" t="n">
        <v>-7125</v>
      </c>
      <c r="C15" t="n">
        <v>-13000</v>
      </c>
      <c r="D15" t="n">
        <v>-19500</v>
      </c>
    </row>
    <row r="16">
      <c r="A16" t="inlineStr">
        <is>
          <t>Verpackung</t>
        </is>
      </c>
      <c r="B16" t="n">
        <v>-2850</v>
      </c>
      <c r="C16" t="n">
        <v>-5200</v>
      </c>
      <c r="D16" t="n">
        <v>-7800</v>
      </c>
    </row>
    <row r="17">
      <c r="A17" t="inlineStr">
        <is>
          <t>Personalkosten</t>
        </is>
      </c>
      <c r="B17" t="n">
        <v>0</v>
      </c>
      <c r="C17" t="n">
        <v>-12600</v>
      </c>
      <c r="D17" t="n">
        <v>-38400</v>
      </c>
    </row>
    <row r="18">
      <c r="A18" t="inlineStr">
        <is>
          <t>Marketing</t>
        </is>
      </c>
      <c r="B18" t="n">
        <v>-25000</v>
      </c>
      <c r="C18" t="n">
        <v>-55800</v>
      </c>
      <c r="D18" t="n">
        <v>-90200</v>
      </c>
    </row>
    <row r="19">
      <c r="A19" t="inlineStr">
        <is>
          <t>Miete/Büro</t>
        </is>
      </c>
      <c r="B19" t="n">
        <v>0</v>
      </c>
      <c r="C19" t="n">
        <v>-3600</v>
      </c>
      <c r="D19" t="n">
        <v>-9600</v>
      </c>
    </row>
    <row r="20">
      <c r="A20" t="inlineStr">
        <is>
          <t>Software/IT</t>
        </is>
      </c>
      <c r="B20" t="n">
        <v>-2160</v>
      </c>
      <c r="C20" t="n">
        <v>-2400</v>
      </c>
      <c r="D20" t="n">
        <v>-2880</v>
      </c>
    </row>
    <row r="21">
      <c r="A21" t="inlineStr">
        <is>
          <t>Steuerberatung</t>
        </is>
      </c>
      <c r="B21" t="n">
        <v>-3000</v>
      </c>
      <c r="C21" t="n">
        <v>-3600</v>
      </c>
      <c r="D21" t="n">
        <v>-4200</v>
      </c>
    </row>
    <row r="22">
      <c r="A22" t="inlineStr">
        <is>
          <t>Versicherungen</t>
        </is>
      </c>
      <c r="B22" t="n">
        <v>-1400</v>
      </c>
      <c r="C22" t="n">
        <v>-2600</v>
      </c>
      <c r="D22" t="n">
        <v>-3000</v>
      </c>
    </row>
    <row r="23">
      <c r="A23" t="inlineStr">
        <is>
          <t>Rechtsberatung</t>
        </is>
      </c>
      <c r="B23" t="n">
        <v>-1500</v>
      </c>
      <c r="C23" t="n">
        <v>-1000</v>
      </c>
      <c r="D23" t="n">
        <v>-1000</v>
      </c>
    </row>
    <row r="24">
      <c r="A24" t="inlineStr">
        <is>
          <t>Sonstiges</t>
        </is>
      </c>
      <c r="B24" t="n">
        <v>-2000</v>
      </c>
      <c r="C24" t="n">
        <v>-3000</v>
      </c>
      <c r="D24" t="n">
        <v>-4000</v>
      </c>
    </row>
    <row r="25">
      <c r="A25" t="inlineStr">
        <is>
          <t>Summe Betriebsausgaben</t>
        </is>
      </c>
      <c r="B25" t="n">
        <v>-63560</v>
      </c>
      <c r="C25" t="n">
        <v>-136600</v>
      </c>
      <c r="D25" t="n">
        <v>-231280</v>
      </c>
    </row>
    <row r="26">
      <c r="A26" t="inlineStr"/>
      <c r="B26" t="inlineStr"/>
      <c r="C26" t="inlineStr"/>
      <c r="D26" t="inlineStr"/>
    </row>
    <row r="27">
      <c r="A27" s="10" t="inlineStr">
        <is>
          <t>EBITDA</t>
        </is>
      </c>
      <c r="B27" s="10" t="n">
        <v>81940</v>
      </c>
      <c r="C27" s="10" t="n">
        <v>128400</v>
      </c>
      <c r="D27" s="10" t="n">
        <v>165720</v>
      </c>
    </row>
    <row r="28">
      <c r="A28" t="inlineStr">
        <is>
          <t>EBITDA-Marge (%)</t>
        </is>
      </c>
      <c r="B28" t="inlineStr">
        <is>
          <t>28,5%</t>
        </is>
      </c>
      <c r="C28" t="inlineStr">
        <is>
          <t>24,5%</t>
        </is>
      </c>
      <c r="D28" t="inlineStr">
        <is>
          <t>21,0%</t>
        </is>
      </c>
    </row>
    <row r="29">
      <c r="A29" t="inlineStr"/>
      <c r="B29" t="inlineStr"/>
      <c r="C29" t="inlineStr"/>
      <c r="D29" t="inlineStr"/>
    </row>
    <row r="30">
      <c r="A30" t="inlineStr">
        <is>
          <t>Abschreibungen</t>
        </is>
      </c>
      <c r="B30" t="n">
        <v>-7475</v>
      </c>
      <c r="C30" t="n">
        <v>-7475</v>
      </c>
      <c r="D30" t="n">
        <v>-7475</v>
      </c>
    </row>
    <row r="31">
      <c r="A31" s="10" t="inlineStr">
        <is>
          <t>EBIT</t>
        </is>
      </c>
      <c r="B31" s="10" t="n">
        <v>74465</v>
      </c>
      <c r="C31" s="10" t="n">
        <v>120925</v>
      </c>
      <c r="D31" s="10" t="n">
        <v>158245</v>
      </c>
    </row>
    <row r="32">
      <c r="A32" t="inlineStr"/>
      <c r="B32" t="inlineStr"/>
      <c r="C32" t="inlineStr"/>
      <c r="D32" t="inlineStr"/>
    </row>
    <row r="33">
      <c r="A33" t="inlineStr">
        <is>
          <t>Zinsaufwand</t>
        </is>
      </c>
      <c r="B33" t="n">
        <v>-5400</v>
      </c>
      <c r="C33" t="n">
        <v>-5400</v>
      </c>
      <c r="D33" t="n">
        <v>-5400</v>
      </c>
    </row>
    <row r="34">
      <c r="A34" s="10" t="inlineStr">
        <is>
          <t>EBT (Gewinn vor Steuern)</t>
        </is>
      </c>
      <c r="B34" s="10" t="n">
        <v>69065</v>
      </c>
      <c r="C34" s="10" t="n">
        <v>115525</v>
      </c>
      <c r="D34" s="10" t="n">
        <v>152845</v>
      </c>
    </row>
    <row r="35">
      <c r="A35" t="inlineStr"/>
      <c r="B35" t="inlineStr"/>
      <c r="C35" t="inlineStr"/>
      <c r="D35" t="inlineStr"/>
    </row>
    <row r="36">
      <c r="A36" t="inlineStr">
        <is>
          <t>Steuern</t>
        </is>
      </c>
      <c r="B36" t="n">
        <v>0</v>
      </c>
      <c r="C36" t="n">
        <v>0</v>
      </c>
      <c r="D36" t="n">
        <v>-45854</v>
      </c>
    </row>
    <row r="37">
      <c r="A37" s="10" t="inlineStr">
        <is>
          <t>JAHRESÜBERSCHUSS</t>
        </is>
      </c>
      <c r="B37" s="10" t="n">
        <v>69065</v>
      </c>
      <c r="C37" s="10" t="n">
        <v>115525</v>
      </c>
      <c r="D37" s="10" t="n">
        <v>106991</v>
      </c>
    </row>
    <row r="38">
      <c r="A38" t="inlineStr">
        <is>
          <t>Nettomarge (%)</t>
        </is>
      </c>
      <c r="B38" t="inlineStr">
        <is>
          <t>24,0%</t>
        </is>
      </c>
      <c r="C38" t="inlineStr">
        <is>
          <t>22,0%</t>
        </is>
      </c>
      <c r="D38" t="inlineStr">
        <is>
          <t>13,6%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LIQUIDITÄTSPLANUNG (Cash Flow)</t>
        </is>
      </c>
    </row>
    <row r="3">
      <c r="A3" s="4" t="inlineStr">
        <is>
          <t>Position</t>
        </is>
      </c>
      <c r="B3" s="4" t="inlineStr">
        <is>
          <t>Jahr 1 (€)</t>
        </is>
      </c>
      <c r="C3" s="4" t="inlineStr">
        <is>
          <t>Jahr 2 (€)</t>
        </is>
      </c>
      <c r="D3" s="4" t="inlineStr">
        <is>
          <t>Jahr 3 (€)</t>
        </is>
      </c>
    </row>
    <row r="4">
      <c r="A4" s="9" t="inlineStr">
        <is>
          <t>OPERATIVER CASH FLOW</t>
        </is>
      </c>
      <c r="B4" s="9" t="inlineStr"/>
      <c r="C4" s="9" t="inlineStr"/>
      <c r="D4" s="9" t="inlineStr"/>
    </row>
    <row r="5">
      <c r="A5" t="inlineStr">
        <is>
          <t>Jahresüberschuss</t>
        </is>
      </c>
      <c r="B5" t="n">
        <v>69065</v>
      </c>
      <c r="C5" t="n">
        <v>115525</v>
      </c>
      <c r="D5" t="n">
        <v>106991</v>
      </c>
    </row>
    <row r="6">
      <c r="A6" t="inlineStr">
        <is>
          <t>+ Abschreibungen</t>
        </is>
      </c>
      <c r="B6" t="n">
        <v>7475</v>
      </c>
      <c r="C6" t="n">
        <v>7475</v>
      </c>
      <c r="D6" t="n">
        <v>7475</v>
      </c>
    </row>
    <row r="7">
      <c r="A7" t="inlineStr">
        <is>
          <t>- Lagererweiterung</t>
        </is>
      </c>
      <c r="B7" t="n">
        <v>-10000</v>
      </c>
      <c r="C7" t="n">
        <v>-15000</v>
      </c>
      <c r="D7" t="n">
        <v>-20000</v>
      </c>
    </row>
    <row r="8">
      <c r="A8" s="5">
        <f> Operativer CF</f>
        <v/>
      </c>
      <c r="B8" s="5" t="n">
        <v>66540</v>
      </c>
      <c r="C8" s="5" t="n">
        <v>108000</v>
      </c>
      <c r="D8" s="5" t="n">
        <v>94466</v>
      </c>
    </row>
    <row r="9">
      <c r="A9" t="inlineStr"/>
      <c r="B9" t="inlineStr"/>
      <c r="C9" t="inlineStr"/>
      <c r="D9" t="inlineStr"/>
    </row>
    <row r="10">
      <c r="A10" s="9" t="inlineStr">
        <is>
          <t>INVESTITIONS-CF</t>
        </is>
      </c>
      <c r="B10" s="9" t="inlineStr"/>
      <c r="C10" s="9" t="inlineStr"/>
      <c r="D10" s="9" t="inlineStr"/>
    </row>
    <row r="11">
      <c r="A11" t="inlineStr">
        <is>
          <t>Investitionen</t>
        </is>
      </c>
      <c r="B11" t="n">
        <v>-14950</v>
      </c>
      <c r="C11" t="n">
        <v>-5000</v>
      </c>
      <c r="D11" t="n">
        <v>-8000</v>
      </c>
    </row>
    <row r="12">
      <c r="A12" s="5">
        <f> Investitions-CF</f>
        <v/>
      </c>
      <c r="B12" s="5" t="n">
        <v>-14950</v>
      </c>
      <c r="C12" s="5" t="n">
        <v>-5000</v>
      </c>
      <c r="D12" s="5" t="n">
        <v>-8000</v>
      </c>
    </row>
    <row r="13">
      <c r="A13" t="inlineStr"/>
      <c r="B13" t="inlineStr"/>
      <c r="C13" t="inlineStr"/>
      <c r="D13" t="inlineStr"/>
    </row>
    <row r="14">
      <c r="A14" s="9" t="inlineStr">
        <is>
          <t>FINANZIERUNGS-CF</t>
        </is>
      </c>
      <c r="B14" s="9" t="inlineStr"/>
      <c r="C14" s="9" t="inlineStr"/>
      <c r="D14" s="9" t="inlineStr"/>
    </row>
    <row r="15">
      <c r="A15" t="inlineStr">
        <is>
          <t>Eigenkapital</t>
        </is>
      </c>
      <c r="B15" t="n">
        <v>25000</v>
      </c>
      <c r="C15" t="n">
        <v>0</v>
      </c>
      <c r="D15" t="n">
        <v>0</v>
      </c>
    </row>
    <row r="16">
      <c r="A16" t="inlineStr">
        <is>
          <t>Kredite</t>
        </is>
      </c>
      <c r="B16" t="n">
        <v>100000</v>
      </c>
      <c r="C16" t="n">
        <v>0</v>
      </c>
      <c r="D16" t="n">
        <v>0</v>
      </c>
    </row>
    <row r="17">
      <c r="A17" t="inlineStr">
        <is>
          <t>Tilgung</t>
        </is>
      </c>
      <c r="B17" t="n">
        <v>0</v>
      </c>
      <c r="C17" t="n">
        <v>-5000</v>
      </c>
      <c r="D17" t="n">
        <v>-15000</v>
      </c>
    </row>
    <row r="18">
      <c r="A18" t="inlineStr">
        <is>
          <t>Zinsen</t>
        </is>
      </c>
      <c r="B18" t="n">
        <v>-5400</v>
      </c>
      <c r="C18" t="n">
        <v>-5400</v>
      </c>
      <c r="D18" t="n">
        <v>-5400</v>
      </c>
    </row>
    <row r="19">
      <c r="A19" s="5">
        <f> Finanzierungs-CF</f>
        <v/>
      </c>
      <c r="B19" s="5" t="n">
        <v>119600</v>
      </c>
      <c r="C19" s="5" t="n">
        <v>-10400</v>
      </c>
      <c r="D19" s="5" t="n">
        <v>-20400</v>
      </c>
    </row>
    <row r="20">
      <c r="A20" t="inlineStr"/>
      <c r="B20" t="inlineStr"/>
      <c r="C20" t="inlineStr"/>
      <c r="D20" t="inlineStr"/>
    </row>
    <row r="21">
      <c r="A21" s="5" t="inlineStr">
        <is>
          <t>GESAMT-CASH FLOW</t>
        </is>
      </c>
      <c r="B21" s="5" t="n">
        <v>171190</v>
      </c>
      <c r="C21" s="5" t="n">
        <v>92600</v>
      </c>
      <c r="D21" s="5" t="n">
        <v>66066</v>
      </c>
    </row>
    <row r="22">
      <c r="A22" s="5" t="inlineStr">
        <is>
          <t>Liquidität (kumuliert)</t>
        </is>
      </c>
      <c r="B22" s="5" t="n">
        <v>171190</v>
      </c>
      <c r="C22" s="5" t="n">
        <v>263790</v>
      </c>
      <c r="D22" s="5" t="n">
        <v>329856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BILANZPLANUNG</t>
        </is>
      </c>
    </row>
    <row r="3">
      <c r="A3" s="4" t="inlineStr">
        <is>
          <t>Position</t>
        </is>
      </c>
      <c r="B3" s="4" t="inlineStr">
        <is>
          <t>31.12.2025</t>
        </is>
      </c>
      <c r="C3" s="4" t="inlineStr">
        <is>
          <t>31.12.2026</t>
        </is>
      </c>
      <c r="D3" s="4" t="inlineStr">
        <is>
          <t>31.12.2027</t>
        </is>
      </c>
    </row>
    <row r="4">
      <c r="A4" s="11" t="inlineStr">
        <is>
          <t>AKTIVA</t>
        </is>
      </c>
      <c r="B4" s="11" t="inlineStr"/>
      <c r="C4" s="11" t="inlineStr"/>
      <c r="D4" s="11" t="inlineStr"/>
    </row>
    <row r="5">
      <c r="A5" t="inlineStr"/>
      <c r="B5" t="inlineStr"/>
      <c r="C5" t="inlineStr"/>
      <c r="D5" t="inlineStr"/>
    </row>
    <row r="6">
      <c r="A6" t="inlineStr">
        <is>
          <t>Anlagevermögen</t>
        </is>
      </c>
      <c r="B6" t="inlineStr"/>
      <c r="C6" t="inlineStr"/>
      <c r="D6" t="inlineStr"/>
    </row>
    <row r="7">
      <c r="A7" t="inlineStr">
        <is>
          <t>Immaterielle VG</t>
        </is>
      </c>
      <c r="B7" t="n">
        <v>7475</v>
      </c>
      <c r="C7" t="n">
        <v>4983</v>
      </c>
      <c r="D7" t="n">
        <v>2492</v>
      </c>
    </row>
    <row r="8">
      <c r="A8" t="inlineStr">
        <is>
          <t>Sachanlagen</t>
        </is>
      </c>
      <c r="B8" t="n">
        <v>0</v>
      </c>
      <c r="C8" t="n">
        <v>3333</v>
      </c>
      <c r="D8" t="n">
        <v>5333</v>
      </c>
    </row>
    <row r="9">
      <c r="A9" s="10" t="inlineStr">
        <is>
          <t>Summe AV</t>
        </is>
      </c>
      <c r="B9" s="10" t="n">
        <v>7475</v>
      </c>
      <c r="C9" s="10" t="n">
        <v>8316</v>
      </c>
      <c r="D9" s="10" t="n">
        <v>7825</v>
      </c>
    </row>
    <row r="10">
      <c r="A10" t="inlineStr"/>
      <c r="B10" t="inlineStr"/>
      <c r="C10" t="inlineStr"/>
      <c r="D10" t="inlineStr"/>
    </row>
    <row r="11">
      <c r="A11" t="inlineStr">
        <is>
          <t>Umlaufvermögen</t>
        </is>
      </c>
      <c r="B11" t="inlineStr"/>
      <c r="C11" t="inlineStr"/>
      <c r="D11" t="inlineStr"/>
    </row>
    <row r="12">
      <c r="A12" t="inlineStr">
        <is>
          <t>Vorräte (Warenlager)</t>
        </is>
      </c>
      <c r="B12" t="n">
        <v>55000</v>
      </c>
      <c r="C12" t="n">
        <v>70000</v>
      </c>
      <c r="D12" t="n">
        <v>90000</v>
      </c>
    </row>
    <row r="13">
      <c r="A13" t="inlineStr">
        <is>
          <t>Forderungen</t>
        </is>
      </c>
      <c r="B13" t="n">
        <v>5000</v>
      </c>
      <c r="C13" t="n">
        <v>9000</v>
      </c>
      <c r="D13" t="n">
        <v>13000</v>
      </c>
    </row>
    <row r="14">
      <c r="A14" t="inlineStr">
        <is>
          <t>Liquide Mittel</t>
        </is>
      </c>
      <c r="B14" t="n">
        <v>171190</v>
      </c>
      <c r="C14" t="n">
        <v>263790</v>
      </c>
      <c r="D14" t="n">
        <v>329856</v>
      </c>
    </row>
    <row r="15">
      <c r="A15" s="10" t="inlineStr">
        <is>
          <t>Summe UV</t>
        </is>
      </c>
      <c r="B15" s="10" t="n">
        <v>231190</v>
      </c>
      <c r="C15" s="10" t="n">
        <v>342790</v>
      </c>
      <c r="D15" s="10" t="n">
        <v>432856</v>
      </c>
    </row>
    <row r="16">
      <c r="A16" t="inlineStr"/>
      <c r="B16" t="inlineStr"/>
      <c r="C16" t="inlineStr"/>
      <c r="D16" t="inlineStr"/>
    </row>
    <row r="17">
      <c r="A17" s="10" t="inlineStr">
        <is>
          <t>SUMME AKTIVA</t>
        </is>
      </c>
      <c r="B17" s="10" t="n">
        <v>238665</v>
      </c>
      <c r="C17" s="10" t="n">
        <v>351106</v>
      </c>
      <c r="D17" s="10" t="n">
        <v>440681</v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s="11" t="inlineStr">
        <is>
          <t>PASSIVA</t>
        </is>
      </c>
      <c r="B20" s="11" t="inlineStr"/>
      <c r="C20" s="11" t="inlineStr"/>
      <c r="D20" s="11" t="inlineStr"/>
    </row>
    <row r="21">
      <c r="A21" t="inlineStr"/>
      <c r="B21" t="inlineStr"/>
      <c r="C21" t="inlineStr"/>
      <c r="D21" t="inlineStr"/>
    </row>
    <row r="22">
      <c r="A22" t="inlineStr">
        <is>
          <t>Eigenkapital</t>
        </is>
      </c>
      <c r="B22" t="inlineStr"/>
      <c r="C22" t="inlineStr"/>
      <c r="D22" t="inlineStr"/>
    </row>
    <row r="23">
      <c r="A23" t="inlineStr">
        <is>
          <t>Stammkapital</t>
        </is>
      </c>
      <c r="B23" t="n">
        <v>25000</v>
      </c>
      <c r="C23" t="n">
        <v>25000</v>
      </c>
      <c r="D23" t="n">
        <v>25000</v>
      </c>
    </row>
    <row r="24">
      <c r="A24" t="inlineStr">
        <is>
          <t>Gewinnrücklage</t>
        </is>
      </c>
      <c r="B24" t="n">
        <v>0</v>
      </c>
      <c r="C24" t="n">
        <v>69065</v>
      </c>
      <c r="D24" t="n">
        <v>184590</v>
      </c>
    </row>
    <row r="25">
      <c r="A25" t="inlineStr">
        <is>
          <t>Jahresüberschuss</t>
        </is>
      </c>
      <c r="B25" t="n">
        <v>69065</v>
      </c>
      <c r="C25" t="n">
        <v>115525</v>
      </c>
      <c r="D25" t="n">
        <v>106991</v>
      </c>
    </row>
    <row r="26">
      <c r="A26" s="10" t="inlineStr">
        <is>
          <t>Summe EK</t>
        </is>
      </c>
      <c r="B26" s="10" t="n">
        <v>94065</v>
      </c>
      <c r="C26" s="10" t="n">
        <v>209590</v>
      </c>
      <c r="D26" s="10" t="n">
        <v>316581</v>
      </c>
    </row>
    <row r="27">
      <c r="A27" t="inlineStr"/>
      <c r="B27" t="inlineStr"/>
      <c r="C27" t="inlineStr"/>
      <c r="D27" t="inlineStr"/>
    </row>
    <row r="28">
      <c r="A28" t="inlineStr">
        <is>
          <t>Fremdkapital</t>
        </is>
      </c>
      <c r="B28" t="inlineStr"/>
      <c r="C28" t="inlineStr"/>
      <c r="D28" t="inlineStr"/>
    </row>
    <row r="29">
      <c r="A29" t="inlineStr">
        <is>
          <t>Langfristige Verbindlichkeiten</t>
        </is>
      </c>
      <c r="B29" t="n">
        <v>100000</v>
      </c>
      <c r="C29" t="n">
        <v>95000</v>
      </c>
      <c r="D29" t="n">
        <v>80000</v>
      </c>
    </row>
    <row r="30">
      <c r="A30" t="inlineStr">
        <is>
          <t>Kurzfristige Verbindlichkeiten</t>
        </is>
      </c>
      <c r="B30" t="n">
        <v>44600</v>
      </c>
      <c r="C30" t="n">
        <v>46516</v>
      </c>
      <c r="D30" t="n">
        <v>44100</v>
      </c>
    </row>
    <row r="31">
      <c r="A31" s="10" t="inlineStr">
        <is>
          <t>Summe FK</t>
        </is>
      </c>
      <c r="B31" s="10" t="n">
        <v>144600</v>
      </c>
      <c r="C31" s="10" t="n">
        <v>141516</v>
      </c>
      <c r="D31" s="10" t="n">
        <v>124100</v>
      </c>
    </row>
    <row r="32">
      <c r="A32" t="inlineStr"/>
      <c r="B32" t="inlineStr"/>
      <c r="C32" t="inlineStr"/>
      <c r="D32" t="inlineStr"/>
    </row>
    <row r="33">
      <c r="A33" s="10" t="inlineStr">
        <is>
          <t>SUMME PASSIVA</t>
        </is>
      </c>
      <c r="B33" s="10" t="n">
        <v>238665</v>
      </c>
      <c r="C33" s="10" t="n">
        <v>351106</v>
      </c>
      <c r="D33" s="10" t="n">
        <v>440681</v>
      </c>
    </row>
    <row r="34">
      <c r="A34" t="inlineStr"/>
      <c r="B34" t="inlineStr"/>
      <c r="C34" t="inlineStr"/>
      <c r="D34" t="inlineStr"/>
    </row>
    <row r="35">
      <c r="A35" s="11" t="inlineStr">
        <is>
          <t>KENNZAHLEN</t>
        </is>
      </c>
      <c r="B35" s="11" t="inlineStr"/>
      <c r="C35" s="11" t="inlineStr"/>
      <c r="D35" s="11" t="inlineStr"/>
    </row>
    <row r="36">
      <c r="A36" t="inlineStr">
        <is>
          <t>Eigenkapitalquote (%)</t>
        </is>
      </c>
      <c r="B36" t="inlineStr">
        <is>
          <t>39,4%</t>
        </is>
      </c>
      <c r="C36" t="inlineStr">
        <is>
          <t>59,7%</t>
        </is>
      </c>
      <c r="D36" t="inlineStr">
        <is>
          <t>71,8%</t>
        </is>
      </c>
    </row>
    <row r="37">
      <c r="A37" t="inlineStr">
        <is>
          <t>Verschuldungsgrad (%)</t>
        </is>
      </c>
      <c r="B37" t="inlineStr">
        <is>
          <t>153,7%</t>
        </is>
      </c>
      <c r="C37" t="inlineStr">
        <is>
          <t>67,5%</t>
        </is>
      </c>
      <c r="D37" t="inlineStr">
        <is>
          <t>39,2%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s="8" t="inlineStr">
        <is>
          <t>INVESTITIONSPLAN</t>
        </is>
      </c>
    </row>
    <row r="3">
      <c r="A3" s="5" t="inlineStr">
        <is>
          <t>Gründungsinvestitionen</t>
        </is>
      </c>
    </row>
    <row r="4">
      <c r="A4" s="5" t="inlineStr">
        <is>
          <t>Position</t>
        </is>
      </c>
      <c r="B4" s="5" t="inlineStr">
        <is>
          <t>Betrag (€)</t>
        </is>
      </c>
      <c r="C4" s="5" t="inlineStr">
        <is>
          <t>Abschreibung</t>
        </is>
      </c>
    </row>
    <row r="5">
      <c r="A5" t="inlineStr">
        <is>
          <t>Rechtsberatung, Notar, HR</t>
        </is>
      </c>
      <c r="B5" t="n">
        <v>2450</v>
      </c>
      <c r="C5" t="inlineStr">
        <is>
          <t>Sofort</t>
        </is>
      </c>
    </row>
    <row r="6">
      <c r="A6" t="inlineStr">
        <is>
          <t>Website-Entwicklung</t>
        </is>
      </c>
      <c r="B6" t="n">
        <v>8000</v>
      </c>
      <c r="C6" t="inlineStr">
        <is>
          <t>3 Jahre</t>
        </is>
      </c>
    </row>
    <row r="7">
      <c r="A7" t="inlineStr">
        <is>
          <t>Branding (Logo, Design)</t>
        </is>
      </c>
      <c r="B7" t="n">
        <v>3000</v>
      </c>
      <c r="C7" t="inlineStr">
        <is>
          <t>3 Jahre</t>
        </is>
      </c>
    </row>
    <row r="8">
      <c r="A8" t="inlineStr">
        <is>
          <t>Erstausstattung Büro</t>
        </is>
      </c>
      <c r="B8" t="n">
        <v>1500</v>
      </c>
      <c r="C8" t="inlineStr">
        <is>
          <t>3 Jahre</t>
        </is>
      </c>
    </row>
    <row r="9">
      <c r="A9" s="5" t="inlineStr">
        <is>
          <t>GESAMT</t>
        </is>
      </c>
      <c r="B9" s="5" t="n">
        <v>14950</v>
      </c>
      <c r="C9" s="5" t="inlineStr"/>
    </row>
    <row r="11">
      <c r="A11" s="5" t="inlineStr">
        <is>
          <t>Warenlager (Erstausstattung)</t>
        </is>
      </c>
    </row>
    <row r="12">
      <c r="A12" t="inlineStr">
        <is>
          <t>Warenlager</t>
        </is>
      </c>
      <c r="B12" t="n">
        <v>45000</v>
      </c>
      <c r="C12" t="inlineStr">
        <is>
          <t>Umlaufvermögen</t>
        </is>
      </c>
    </row>
    <row r="14">
      <c r="A14" s="5" t="inlineStr">
        <is>
          <t>Betriebsmittel</t>
        </is>
      </c>
    </row>
    <row r="15">
      <c r="A15" t="inlineStr">
        <is>
          <t>Liquiditätsreserve (6 Monate)</t>
        </is>
      </c>
      <c r="B15" t="n">
        <v>30000</v>
      </c>
    </row>
    <row r="17">
      <c r="A17" s="12" t="inlineStr">
        <is>
          <t>GESAMTINVESTITION</t>
        </is>
      </c>
      <c r="B17" s="5" t="n">
        <v>89950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8" t="inlineStr">
        <is>
          <t>KAPITALBEDARFSPLAN</t>
        </is>
      </c>
    </row>
    <row r="3">
      <c r="A3" s="4" t="inlineStr">
        <is>
          <t>Verwendung</t>
        </is>
      </c>
      <c r="B3" s="4" t="inlineStr">
        <is>
          <t>Betrag (€)</t>
        </is>
      </c>
      <c r="C3" s="4" t="inlineStr">
        <is>
          <t>Anteil (%)</t>
        </is>
      </c>
    </row>
    <row r="4">
      <c r="A4" t="inlineStr">
        <is>
          <t>Gründungskosten</t>
        </is>
      </c>
      <c r="B4" t="n">
        <v>14950</v>
      </c>
      <c r="C4" t="inlineStr">
        <is>
          <t>12%</t>
        </is>
      </c>
    </row>
    <row r="5">
      <c r="A5" t="inlineStr">
        <is>
          <t>Warenlager (Erstausstattung)</t>
        </is>
      </c>
      <c r="B5" t="n">
        <v>45000</v>
      </c>
      <c r="C5" t="inlineStr">
        <is>
          <t>36%</t>
        </is>
      </c>
    </row>
    <row r="6">
      <c r="A6" t="inlineStr">
        <is>
          <t>Liquiditätsreserve (6 Monate)</t>
        </is>
      </c>
      <c r="B6" t="n">
        <v>30000</v>
      </c>
      <c r="C6" t="inlineStr">
        <is>
          <t>24%</t>
        </is>
      </c>
    </row>
    <row r="7">
      <c r="A7" t="inlineStr">
        <is>
          <t>Marketing (Launch)</t>
        </is>
      </c>
      <c r="B7" t="n">
        <v>10000</v>
      </c>
      <c r="C7" t="inlineStr">
        <is>
          <t>8%</t>
        </is>
      </c>
    </row>
    <row r="8">
      <c r="A8" t="inlineStr">
        <is>
          <t>Laufende Kosten (3 Monate)</t>
        </is>
      </c>
      <c r="B8" t="n">
        <v>15000</v>
      </c>
      <c r="C8" t="inlineStr">
        <is>
          <t>12%</t>
        </is>
      </c>
    </row>
    <row r="9">
      <c r="A9" t="inlineStr">
        <is>
          <t>Puffer</t>
        </is>
      </c>
      <c r="B9" t="n">
        <v>10050</v>
      </c>
      <c r="C9" t="inlineStr">
        <is>
          <t>8%</t>
        </is>
      </c>
    </row>
    <row r="10">
      <c r="A10" s="10" t="inlineStr">
        <is>
          <t>GESAMTKAPITALBEDARF</t>
        </is>
      </c>
      <c r="B10" s="10" t="n">
        <v>125000</v>
      </c>
      <c r="C10" s="10" t="inlineStr">
        <is>
          <t>100%</t>
        </is>
      </c>
    </row>
    <row r="13">
      <c r="A13" s="7" t="inlineStr">
        <is>
          <t>FINANZIERUNG</t>
        </is>
      </c>
    </row>
    <row r="14">
      <c r="A14" s="5" t="inlineStr">
        <is>
          <t>Quelle</t>
        </is>
      </c>
      <c r="B14" s="5" t="inlineStr">
        <is>
          <t>Betrag (€)</t>
        </is>
      </c>
      <c r="C14" s="5" t="inlineStr">
        <is>
          <t>Anteil (%)</t>
        </is>
      </c>
    </row>
    <row r="15">
      <c r="A15" t="inlineStr">
        <is>
          <t>Eigenkapital (Gründerin)</t>
        </is>
      </c>
      <c r="B15" t="n">
        <v>25000</v>
      </c>
      <c r="C15" t="inlineStr">
        <is>
          <t>20%</t>
        </is>
      </c>
    </row>
    <row r="16">
      <c r="A16" t="inlineStr">
        <is>
          <t>KfW-Gründerkredit</t>
        </is>
      </c>
      <c r="B16" t="n">
        <v>80000</v>
      </c>
      <c r="C16" t="inlineStr">
        <is>
          <t>64%</t>
        </is>
      </c>
    </row>
    <row r="17">
      <c r="A17" t="inlineStr">
        <is>
          <t>Sparkassen-Betriebsmittelkredit</t>
        </is>
      </c>
      <c r="B17" t="n">
        <v>20000</v>
      </c>
      <c r="C17" t="inlineStr">
        <is>
          <t>16%</t>
        </is>
      </c>
    </row>
    <row r="18">
      <c r="A18" s="10" t="inlineStr">
        <is>
          <t>GESAMTFINANZIERUNG</t>
        </is>
      </c>
      <c r="B18" s="10" t="n">
        <v>125000</v>
      </c>
      <c r="C18" s="10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BREAK-EVEN-ANALYSE</t>
        </is>
      </c>
    </row>
    <row r="3">
      <c r="A3" s="5" t="inlineStr">
        <is>
          <t>Deckungsbeitragsrechnung</t>
        </is>
      </c>
    </row>
    <row r="4">
      <c r="A4" s="5" t="inlineStr">
        <is>
          <t>Position</t>
        </is>
      </c>
      <c r="B4" s="5" t="inlineStr">
        <is>
          <t>Wert</t>
        </is>
      </c>
    </row>
    <row r="5">
      <c r="A5" t="inlineStr">
        <is>
          <t>Durchschn. Warenkorbwert</t>
        </is>
      </c>
      <c r="B5" t="inlineStr">
        <is>
          <t>142 €</t>
        </is>
      </c>
    </row>
    <row r="6">
      <c r="A6" t="inlineStr">
        <is>
          <t>Variable Kosten pro Verkauf</t>
        </is>
      </c>
      <c r="B6" t="inlineStr">
        <is>
          <t>85 €</t>
        </is>
      </c>
    </row>
    <row r="7">
      <c r="A7" t="inlineStr">
        <is>
          <t>Deckungsbeitrag pro Verkauf</t>
        </is>
      </c>
      <c r="B7" t="inlineStr">
        <is>
          <t>57 €</t>
        </is>
      </c>
    </row>
    <row r="8">
      <c r="A8" t="inlineStr">
        <is>
          <t>Deckungsbeitrag in %</t>
        </is>
      </c>
      <c r="B8" t="inlineStr">
        <is>
          <t>40%</t>
        </is>
      </c>
    </row>
    <row r="9">
      <c r="A9" t="inlineStr"/>
      <c r="B9" t="inlineStr"/>
    </row>
    <row r="10">
      <c r="A10" t="inlineStr">
        <is>
          <t>Fixkosten pro Monat (Ø)</t>
        </is>
      </c>
      <c r="B10" t="inlineStr">
        <is>
          <t>2.922 €</t>
        </is>
      </c>
    </row>
    <row r="11">
      <c r="A11" t="inlineStr"/>
      <c r="B11" t="inlineStr"/>
    </row>
    <row r="12">
      <c r="A12" s="5" t="inlineStr">
        <is>
          <t>Break-Even-Umsatz/Monat</t>
        </is>
      </c>
      <c r="B12" s="5" t="inlineStr">
        <is>
          <t>7.305 €</t>
        </is>
      </c>
    </row>
    <row r="13">
      <c r="A13" s="5" t="inlineStr">
        <is>
          <t>Break-Even-Bestellungen/Monat</t>
        </is>
      </c>
      <c r="B13" s="5" t="inlineStr">
        <is>
          <t>51 Stück</t>
        </is>
      </c>
    </row>
    <row r="14">
      <c r="A14" t="inlineStr"/>
      <c r="B14" t="inlineStr"/>
    </row>
    <row r="15">
      <c r="A15" t="inlineStr">
        <is>
          <t>Erreicht in</t>
        </is>
      </c>
      <c r="B15" t="inlineStr">
        <is>
          <t>Monat 1 (April 2025)</t>
        </is>
      </c>
    </row>
    <row r="18">
      <c r="A18" s="5" t="inlineStr">
        <is>
          <t>Kumulierter Break-Even (inkl. Investitionen)</t>
        </is>
      </c>
    </row>
    <row r="19">
      <c r="A19" t="inlineStr">
        <is>
          <t>Gesamtinvestitionen</t>
        </is>
      </c>
      <c r="B19" t="inlineStr">
        <is>
          <t>125.000 €</t>
        </is>
      </c>
    </row>
    <row r="20">
      <c r="A20" t="inlineStr">
        <is>
          <t>Break-Even erreicht</t>
        </is>
      </c>
      <c r="B20" s="13" t="inlineStr">
        <is>
          <t>Monat 18 (September 2026)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SENSITIVITÄTSANALYSE</t>
        </is>
      </c>
    </row>
    <row r="3">
      <c r="A3" s="5" t="inlineStr">
        <is>
          <t>Szenarien (Jahr 1)</t>
        </is>
      </c>
    </row>
    <row r="4">
      <c r="A4" s="4" t="inlineStr">
        <is>
          <t>Szenario</t>
        </is>
      </c>
      <c r="B4" s="4" t="inlineStr">
        <is>
          <t>Umsatz (€)</t>
        </is>
      </c>
      <c r="C4" s="4" t="inlineStr">
        <is>
          <t>Jahresüberschuss (€)</t>
        </is>
      </c>
      <c r="D4" s="4" t="inlineStr">
        <is>
          <t>Abweichung</t>
        </is>
      </c>
    </row>
    <row r="5">
      <c r="A5" t="inlineStr">
        <is>
          <t>Worst Case (-30%)</t>
        </is>
      </c>
      <c r="B5" t="n">
        <v>199500</v>
      </c>
      <c r="C5" t="n">
        <v>34565</v>
      </c>
      <c r="D5" t="inlineStr">
        <is>
          <t>-50%</t>
        </is>
      </c>
    </row>
    <row r="6">
      <c r="A6" t="inlineStr">
        <is>
          <t>Pessimistisch (-20%)</t>
        </is>
      </c>
      <c r="B6" t="n">
        <v>228000</v>
      </c>
      <c r="C6" t="n">
        <v>46265</v>
      </c>
      <c r="D6" t="inlineStr">
        <is>
          <t>-33%</t>
        </is>
      </c>
    </row>
    <row r="7">
      <c r="A7" t="inlineStr">
        <is>
          <t>Konservativ (-10%)</t>
        </is>
      </c>
      <c r="B7" t="n">
        <v>256500</v>
      </c>
      <c r="C7" t="n">
        <v>57665</v>
      </c>
      <c r="D7" t="inlineStr">
        <is>
          <t>-17%</t>
        </is>
      </c>
    </row>
    <row r="8">
      <c r="A8" s="14" t="inlineStr">
        <is>
          <t>Base Case (Plan)</t>
        </is>
      </c>
      <c r="B8" s="14" t="n">
        <v>285000</v>
      </c>
      <c r="C8" s="14" t="n">
        <v>69065</v>
      </c>
      <c r="D8" s="14" t="inlineStr">
        <is>
          <t>0%</t>
        </is>
      </c>
    </row>
    <row r="9">
      <c r="A9" t="inlineStr">
        <is>
          <t>Optimistisch (+10%)</t>
        </is>
      </c>
      <c r="B9" t="n">
        <v>313500</v>
      </c>
      <c r="C9" t="n">
        <v>80465</v>
      </c>
      <c r="D9" t="inlineStr">
        <is>
          <t>+16%</t>
        </is>
      </c>
    </row>
    <row r="10">
      <c r="A10" t="inlineStr">
        <is>
          <t>Best Case (+20%)</t>
        </is>
      </c>
      <c r="B10" t="n">
        <v>342000</v>
      </c>
      <c r="C10" t="n">
        <v>91865</v>
      </c>
      <c r="D10" t="inlineStr">
        <is>
          <t>+33%</t>
        </is>
      </c>
    </row>
    <row r="11">
      <c r="A11" t="inlineStr">
        <is>
          <t>Sehr optimistisch (+30%)</t>
        </is>
      </c>
      <c r="B11" t="n">
        <v>370500</v>
      </c>
      <c r="C11" t="n">
        <v>103265</v>
      </c>
      <c r="D11" t="inlineStr">
        <is>
          <t>+50%</t>
        </is>
      </c>
    </row>
    <row r="14">
      <c r="A14" s="5" t="inlineStr">
        <is>
          <t>Sensitivität Wareneinsatz (COGS)</t>
        </is>
      </c>
    </row>
    <row r="15">
      <c r="A15" s="4" t="inlineStr">
        <is>
          <t>COGS-Abweichung</t>
        </is>
      </c>
      <c r="B15" s="4" t="inlineStr">
        <is>
          <t>Bruttogewinn (€)</t>
        </is>
      </c>
      <c r="C15" s="4" t="inlineStr">
        <is>
          <t>Jahresüberschuss (€)</t>
        </is>
      </c>
    </row>
    <row r="16">
      <c r="A16" s="14" t="inlineStr">
        <is>
          <t>+10%</t>
        </is>
      </c>
      <c r="B16" s="14" t="n">
        <v>131250</v>
      </c>
      <c r="C16" s="14" t="n">
        <v>54815</v>
      </c>
    </row>
    <row r="17">
      <c r="A17" t="inlineStr">
        <is>
          <t>+5%</t>
        </is>
      </c>
      <c r="B17" t="n">
        <v>138375</v>
      </c>
      <c r="C17" t="n">
        <v>61940</v>
      </c>
    </row>
    <row r="18">
      <c r="A18" s="14" t="inlineStr">
        <is>
          <t>0% (Base)</t>
        </is>
      </c>
      <c r="B18" s="14" t="n">
        <v>145500</v>
      </c>
      <c r="C18" s="14" t="n">
        <v>69065</v>
      </c>
    </row>
    <row r="19">
      <c r="A19" t="inlineStr">
        <is>
          <t>-5%</t>
        </is>
      </c>
      <c r="B19" t="n">
        <v>152625</v>
      </c>
      <c r="C19" t="n">
        <v>76190</v>
      </c>
    </row>
    <row r="20">
      <c r="A20" s="14" t="inlineStr">
        <is>
          <t>-10%</t>
        </is>
      </c>
      <c r="B20" s="14" t="n">
        <v>159750</v>
      </c>
      <c r="C20" s="14" t="n">
        <v>83315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SCHULDENDIENSTFÄHIGKEIT</t>
        </is>
      </c>
    </row>
    <row r="3">
      <c r="A3" s="5" t="inlineStr">
        <is>
          <t>Debt Service Coverage Ratio (DSCR)</t>
        </is>
      </c>
    </row>
    <row r="4">
      <c r="A4" s="4" t="inlineStr">
        <is>
          <t>Jahr</t>
        </is>
      </c>
      <c r="B4" s="4" t="inlineStr">
        <is>
          <t>EBITDA (€)</t>
        </is>
      </c>
      <c r="C4" s="4" t="inlineStr">
        <is>
          <t>Steuern (€)</t>
        </is>
      </c>
      <c r="D4" s="4" t="inlineStr">
        <is>
          <t>Tilgung (€)</t>
        </is>
      </c>
      <c r="E4" s="4" t="inlineStr">
        <is>
          <t>Zinsen (€)</t>
        </is>
      </c>
      <c r="F4" s="4" t="inlineStr">
        <is>
          <t>Schuldendienst (€)</t>
        </is>
      </c>
      <c r="G4" s="4" t="inlineStr">
        <is>
          <t>DSCR</t>
        </is>
      </c>
    </row>
    <row r="5">
      <c r="A5" t="n">
        <v>2025</v>
      </c>
      <c r="B5" t="n">
        <v>81940</v>
      </c>
      <c r="C5" t="n">
        <v>0</v>
      </c>
      <c r="D5" t="n">
        <v>0</v>
      </c>
      <c r="E5" t="n">
        <v>4800</v>
      </c>
      <c r="F5" t="n">
        <v>4800</v>
      </c>
      <c r="G5" t="n">
        <v>17.1</v>
      </c>
    </row>
    <row r="6">
      <c r="A6" t="n">
        <v>2026</v>
      </c>
      <c r="B6" t="n">
        <v>128400</v>
      </c>
      <c r="C6" t="n">
        <v>0</v>
      </c>
      <c r="D6" t="n">
        <v>5000</v>
      </c>
      <c r="E6" t="n">
        <v>4800</v>
      </c>
      <c r="F6" t="n">
        <v>9800</v>
      </c>
      <c r="G6" t="n">
        <v>13.1</v>
      </c>
    </row>
    <row r="7">
      <c r="A7" t="n">
        <v>2027</v>
      </c>
      <c r="B7" t="n">
        <v>165720</v>
      </c>
      <c r="C7" t="n">
        <v>45854</v>
      </c>
      <c r="D7" t="n">
        <v>15000</v>
      </c>
      <c r="E7" t="n">
        <v>4500</v>
      </c>
      <c r="F7" t="n">
        <v>19500</v>
      </c>
      <c r="G7" t="n">
        <v>6.1</v>
      </c>
    </row>
    <row r="10">
      <c r="A10" s="15" t="inlineStr">
        <is>
          <t>Bewertung: DSCR &gt; 1,2 = Sehr gut (Bank-Mindestanforderung)</t>
        </is>
      </c>
    </row>
    <row r="11">
      <c r="A11" s="13" t="inlineStr">
        <is>
          <t>Alle Jahre deutlich über Mindestanforderung ✓</t>
        </is>
      </c>
    </row>
    <row r="14">
      <c r="A14" s="5" t="inlineStr">
        <is>
          <t>Tilgungsplan KfW-Kredit (80.000 €)</t>
        </is>
      </c>
    </row>
    <row r="15">
      <c r="A15" s="4" t="inlineStr">
        <is>
          <t>Jahr</t>
        </is>
      </c>
      <c r="B15" s="4" t="inlineStr">
        <is>
          <t>Restschuld Anfang</t>
        </is>
      </c>
      <c r="C15" s="4" t="inlineStr">
        <is>
          <t>Tilgung</t>
        </is>
      </c>
      <c r="D15" s="4" t="inlineStr">
        <is>
          <t>Zinsen</t>
        </is>
      </c>
      <c r="E15" s="4" t="inlineStr">
        <is>
          <t>Rate</t>
        </is>
      </c>
      <c r="F15" s="4" t="inlineStr">
        <is>
          <t>Restschuld Ende</t>
        </is>
      </c>
    </row>
    <row r="16">
      <c r="A16" t="n">
        <v>2025</v>
      </c>
      <c r="B16" t="n">
        <v>80000</v>
      </c>
      <c r="C16" t="n">
        <v>0</v>
      </c>
      <c r="D16" t="n">
        <v>3600</v>
      </c>
      <c r="E16" t="n">
        <v>3600</v>
      </c>
      <c r="F16" t="n">
        <v>80000</v>
      </c>
    </row>
    <row r="17">
      <c r="A17" t="n">
        <v>2026</v>
      </c>
      <c r="B17" t="n">
        <v>80000</v>
      </c>
      <c r="C17" t="n">
        <v>0</v>
      </c>
      <c r="D17" t="n">
        <v>3600</v>
      </c>
      <c r="E17" t="n">
        <v>3600</v>
      </c>
      <c r="F17" t="n">
        <v>80000</v>
      </c>
    </row>
    <row r="18">
      <c r="A18" t="n">
        <v>2027</v>
      </c>
      <c r="B18" t="n">
        <v>80000</v>
      </c>
      <c r="C18" t="n">
        <v>10000</v>
      </c>
      <c r="D18" t="n">
        <v>3600</v>
      </c>
      <c r="E18" t="n">
        <v>13600</v>
      </c>
      <c r="F18" t="n">
        <v>70000</v>
      </c>
    </row>
    <row r="19">
      <c r="A19" t="n">
        <v>2028</v>
      </c>
      <c r="B19" t="n">
        <v>70000</v>
      </c>
      <c r="C19" t="n">
        <v>10000</v>
      </c>
      <c r="D19" t="n">
        <v>3150</v>
      </c>
      <c r="E19" t="n">
        <v>13150</v>
      </c>
      <c r="F19" t="n">
        <v>60000</v>
      </c>
    </row>
    <row r="20">
      <c r="A20" t="n">
        <v>2029</v>
      </c>
      <c r="B20" t="n">
        <v>60000</v>
      </c>
      <c r="C20" t="n">
        <v>10000</v>
      </c>
      <c r="D20" t="n">
        <v>2700</v>
      </c>
      <c r="E20" t="n">
        <v>12700</v>
      </c>
      <c r="F20" t="n">
        <v>50000</v>
      </c>
    </row>
    <row r="22">
      <c r="A22" s="5" t="inlineStr">
        <is>
          <t>Tilgungsplan Sparkassen-Kredit (20.000 €)</t>
        </is>
      </c>
    </row>
    <row r="23">
      <c r="A23" s="4" t="inlineStr">
        <is>
          <t>Jahr</t>
        </is>
      </c>
      <c r="B23" s="4" t="inlineStr">
        <is>
          <t>Restschuld Anfang</t>
        </is>
      </c>
      <c r="C23" s="4" t="inlineStr">
        <is>
          <t>Tilgung</t>
        </is>
      </c>
      <c r="D23" s="4" t="inlineStr">
        <is>
          <t>Zinsen</t>
        </is>
      </c>
      <c r="E23" s="4" t="inlineStr">
        <is>
          <t>Rate</t>
        </is>
      </c>
      <c r="F23" s="4" t="inlineStr">
        <is>
          <t>Restschuld Ende</t>
        </is>
      </c>
    </row>
    <row r="24">
      <c r="A24" t="n">
        <v>2025</v>
      </c>
      <c r="B24" t="n">
        <v>20000</v>
      </c>
      <c r="C24" t="n">
        <v>0</v>
      </c>
      <c r="D24" t="n">
        <v>1200</v>
      </c>
      <c r="E24" t="n">
        <v>1200</v>
      </c>
      <c r="F24" t="n">
        <v>20000</v>
      </c>
    </row>
    <row r="25">
      <c r="A25" t="n">
        <v>2026</v>
      </c>
      <c r="B25" t="n">
        <v>20000</v>
      </c>
      <c r="C25" t="n">
        <v>5000</v>
      </c>
      <c r="D25" t="n">
        <v>1200</v>
      </c>
      <c r="E25" t="n">
        <v>6200</v>
      </c>
      <c r="F25" t="n">
        <v>15000</v>
      </c>
    </row>
    <row r="26">
      <c r="A26" t="n">
        <v>2027</v>
      </c>
      <c r="B26" t="n">
        <v>15000</v>
      </c>
      <c r="C26" t="n">
        <v>5000</v>
      </c>
      <c r="D26" t="n">
        <v>900</v>
      </c>
      <c r="E26" t="n">
        <v>5900</v>
      </c>
      <c r="F26" t="n">
        <v>10000</v>
      </c>
    </row>
    <row r="27">
      <c r="A27" t="n">
        <v>2028</v>
      </c>
      <c r="B27" t="n">
        <v>10000</v>
      </c>
      <c r="C27" t="n">
        <v>5000</v>
      </c>
      <c r="D27" t="n">
        <v>600</v>
      </c>
      <c r="E27" t="n">
        <v>5600</v>
      </c>
      <c r="F27" t="n">
        <v>5000</v>
      </c>
    </row>
    <row r="28">
      <c r="A28" t="n">
        <v>2029</v>
      </c>
      <c r="B28" t="n">
        <v>5000</v>
      </c>
      <c r="C28" t="n">
        <v>5000</v>
      </c>
      <c r="D28" t="n">
        <v>300</v>
      </c>
      <c r="E28" t="n">
        <v>5300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2026-02-23T17:59:44+00:00Z</dcterms:created>
  <dcterms:modified xmlns:dcterms="http://purl.org/dc/terms/" xmlns:xsi="http://www.w3.org/2001/XMLSchema-instance" xsi:type="dcterms:W3CDTF">2026-02-23T17:59:44+00:00Z</dcterms:modified>
</cp:coreProperties>
</file>